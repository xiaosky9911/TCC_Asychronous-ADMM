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chengxu\python\mpi\test0\"/>
    </mc:Choice>
  </mc:AlternateContent>
  <xr:revisionPtr revIDLastSave="0" documentId="13_ncr:1_{C85D18D8-AA7A-405E-B748-B7B78C58A3AB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网络架构" sheetId="1" r:id="rId1"/>
    <sheet name="区域网" sheetId="15" r:id="rId2"/>
    <sheet name="城市参数" sheetId="2" r:id="rId3"/>
    <sheet name="负载类型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D12" i="2"/>
  <c r="C12" i="2"/>
  <c r="L3" i="2"/>
  <c r="L4" i="2"/>
  <c r="L5" i="2"/>
  <c r="L6" i="2"/>
  <c r="L7" i="2"/>
  <c r="L8" i="2"/>
  <c r="L9" i="2"/>
  <c r="L10" i="2"/>
  <c r="L11" i="2"/>
  <c r="L2" i="2"/>
  <c r="L12" i="2" l="1"/>
</calcChain>
</file>

<file path=xl/sharedStrings.xml><?xml version="1.0" encoding="utf-8"?>
<sst xmlns="http://schemas.openxmlformats.org/spreadsheetml/2006/main" count="62" uniqueCount="34">
  <si>
    <t>大区内</t>
  </si>
  <si>
    <t>跨区域</t>
  </si>
  <si>
    <t>华北</t>
  </si>
  <si>
    <t>华北</t>
    <phoneticPr fontId="1" type="noConversion"/>
  </si>
  <si>
    <t>华南</t>
  </si>
  <si>
    <t>华南</t>
    <phoneticPr fontId="1" type="noConversion"/>
  </si>
  <si>
    <t>西南</t>
  </si>
  <si>
    <t>西南</t>
    <phoneticPr fontId="1" type="noConversion"/>
  </si>
  <si>
    <t>华东</t>
  </si>
  <si>
    <t>华东</t>
    <phoneticPr fontId="1" type="noConversion"/>
  </si>
  <si>
    <t>冷负载</t>
    <phoneticPr fontId="1" type="noConversion"/>
  </si>
  <si>
    <t>温负载</t>
    <phoneticPr fontId="1" type="noConversion"/>
  </si>
  <si>
    <t>单价系数</t>
    <phoneticPr fontId="1" type="noConversion"/>
  </si>
  <si>
    <t>区域</t>
  </si>
  <si>
    <t>冷负载（万核）</t>
  </si>
  <si>
    <t>温负载（万核）</t>
  </si>
  <si>
    <t>热负载（万核）</t>
  </si>
  <si>
    <t>不允许跨数据中心</t>
    <phoneticPr fontId="1" type="noConversion"/>
  </si>
  <si>
    <t>允许大区内跨数据中心，产生的带宽为0.3 mbps/核/</t>
    <phoneticPr fontId="1" type="noConversion"/>
  </si>
  <si>
    <t>允许全国范围内跨数据中心，产生的带宽为0.25 mbps/核</t>
    <phoneticPr fontId="1" type="noConversion"/>
  </si>
  <si>
    <t>热负载</t>
    <phoneticPr fontId="1" type="noConversion"/>
  </si>
  <si>
    <t>数据中心运行费用 = 数据中心总功率 * 0.6元/kwh * 运行系数 * 10年</t>
    <phoneticPr fontId="1" type="noConversion"/>
  </si>
  <si>
    <t>线路起点</t>
    <phoneticPr fontId="1" type="noConversion"/>
  </si>
  <si>
    <t>线路终点</t>
    <phoneticPr fontId="1" type="noConversion"/>
  </si>
  <si>
    <t>带宽上限（T/s）</t>
    <phoneticPr fontId="1" type="noConversion"/>
  </si>
  <si>
    <t>基础单价：20000元/Gbps/年 （10年，1Gbps成本为20w）</t>
    <phoneticPr fontId="1" type="noConversion"/>
  </si>
  <si>
    <t>各线路费用 = 基础单价 * 单价系数</t>
    <phoneticPr fontId="1" type="noConversion"/>
  </si>
  <si>
    <t>城市</t>
    <phoneticPr fontId="1" type="noConversion"/>
  </si>
  <si>
    <t>区域</t>
    <phoneticPr fontId="1" type="noConversion"/>
  </si>
  <si>
    <t>服务器核数上限(万)</t>
    <phoneticPr fontId="1" type="noConversion"/>
  </si>
  <si>
    <t>运行系数</t>
    <phoneticPr fontId="1" type="noConversion"/>
  </si>
  <si>
    <t>电价</t>
    <phoneticPr fontId="1" type="noConversion"/>
  </si>
  <si>
    <t>负荷上限（万核）</t>
    <phoneticPr fontId="1" type="noConversion"/>
  </si>
  <si>
    <t>数据中心总功率 = 核数 * 45w/核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</si>
</sst>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黑体"/>
      <family val="3"/>
      <charset val="134"/>
    </font>
    <font>
      <sz val="11"/>
      <color theme="1"/>
      <name val="黑体"/>
      <family val="3"/>
      <charset val="134"/>
    </font>
    <font>
      <sz val="10.5"/>
      <color theme="1"/>
      <name val="黑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6" fillId="0" borderId="7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8" fillId="6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5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C28" sqref="C28"/>
    </sheetView>
  </sheetViews>
  <sheetFormatPr defaultRowHeight="14.25" x14ac:dyDescent="0.2"/>
  <cols>
    <col min="1" max="1" width="9.125" customWidth="1"/>
    <col min="2" max="2" width="10" bestFit="1" customWidth="1"/>
    <col min="3" max="3" width="10" customWidth="1"/>
    <col min="4" max="4" width="16.375" customWidth="1"/>
    <col min="5" max="5" width="8.5" bestFit="1" customWidth="1"/>
  </cols>
  <sheetData>
    <row r="1" spans="1:5" ht="20.100000000000001" customHeight="1" thickBot="1" x14ac:dyDescent="0.25">
      <c r="A1" s="2"/>
      <c r="B1" s="3" t="s">
        <v>22</v>
      </c>
      <c r="C1" s="3" t="s">
        <v>23</v>
      </c>
      <c r="D1" s="3" t="s">
        <v>24</v>
      </c>
      <c r="E1" s="3" t="s">
        <v>12</v>
      </c>
    </row>
    <row r="2" spans="1:5" ht="20.100000000000001" customHeight="1" thickBot="1" x14ac:dyDescent="0.25">
      <c r="A2" s="34" t="s">
        <v>0</v>
      </c>
      <c r="B2" s="4" t="s">
        <v>3</v>
      </c>
      <c r="C2" s="4" t="s">
        <v>3</v>
      </c>
      <c r="D2" s="5">
        <v>2.4</v>
      </c>
      <c r="E2" s="5">
        <v>0.8</v>
      </c>
    </row>
    <row r="3" spans="1:5" ht="20.100000000000001" customHeight="1" thickBot="1" x14ac:dyDescent="0.25">
      <c r="A3" s="35"/>
      <c r="B3" s="4" t="s">
        <v>9</v>
      </c>
      <c r="C3" s="4" t="s">
        <v>9</v>
      </c>
      <c r="D3" s="5">
        <v>2.4</v>
      </c>
      <c r="E3" s="5">
        <v>0.8</v>
      </c>
    </row>
    <row r="4" spans="1:5" ht="20.100000000000001" customHeight="1" thickBot="1" x14ac:dyDescent="0.25">
      <c r="A4" s="35"/>
      <c r="B4" s="4" t="s">
        <v>5</v>
      </c>
      <c r="C4" s="4" t="s">
        <v>5</v>
      </c>
      <c r="D4" s="5">
        <v>2.4</v>
      </c>
      <c r="E4" s="5">
        <v>0.8</v>
      </c>
    </row>
    <row r="5" spans="1:5" ht="20.100000000000001" customHeight="1" thickBot="1" x14ac:dyDescent="0.25">
      <c r="A5" s="36"/>
      <c r="B5" s="4" t="s">
        <v>7</v>
      </c>
      <c r="C5" s="4" t="s">
        <v>7</v>
      </c>
      <c r="D5" s="5">
        <v>2.4</v>
      </c>
      <c r="E5" s="5">
        <v>0.8</v>
      </c>
    </row>
    <row r="6" spans="1:5" ht="20.100000000000001" customHeight="1" thickBot="1" x14ac:dyDescent="0.25">
      <c r="A6" s="37" t="s">
        <v>1</v>
      </c>
      <c r="B6" s="4" t="s">
        <v>3</v>
      </c>
      <c r="C6" s="4" t="s">
        <v>9</v>
      </c>
      <c r="D6" s="5">
        <v>2.4</v>
      </c>
      <c r="E6" s="5">
        <v>1.1000000000000001</v>
      </c>
    </row>
    <row r="7" spans="1:5" ht="20.100000000000001" customHeight="1" thickBot="1" x14ac:dyDescent="0.25">
      <c r="A7" s="38"/>
      <c r="B7" s="4" t="s">
        <v>3</v>
      </c>
      <c r="C7" s="4" t="s">
        <v>5</v>
      </c>
      <c r="D7" s="5">
        <v>2.4</v>
      </c>
      <c r="E7" s="5">
        <v>1.2</v>
      </c>
    </row>
    <row r="8" spans="1:5" ht="20.100000000000001" customHeight="1" thickBot="1" x14ac:dyDescent="0.25">
      <c r="A8" s="38"/>
      <c r="B8" s="4" t="s">
        <v>3</v>
      </c>
      <c r="C8" s="4" t="s">
        <v>7</v>
      </c>
      <c r="D8" s="5">
        <v>1.2</v>
      </c>
      <c r="E8" s="5">
        <v>1</v>
      </c>
    </row>
    <row r="9" spans="1:5" ht="20.100000000000001" customHeight="1" thickBot="1" x14ac:dyDescent="0.25">
      <c r="A9" s="38"/>
      <c r="B9" s="4" t="s">
        <v>9</v>
      </c>
      <c r="C9" s="4" t="s">
        <v>5</v>
      </c>
      <c r="D9" s="5">
        <v>2.4</v>
      </c>
      <c r="E9" s="5">
        <v>1.1000000000000001</v>
      </c>
    </row>
    <row r="10" spans="1:5" ht="20.100000000000001" customHeight="1" thickBot="1" x14ac:dyDescent="0.25">
      <c r="A10" s="38"/>
      <c r="B10" s="4" t="s">
        <v>9</v>
      </c>
      <c r="C10" s="4" t="s">
        <v>7</v>
      </c>
      <c r="D10" s="5">
        <v>1.2</v>
      </c>
      <c r="E10" s="5">
        <v>1.1000000000000001</v>
      </c>
    </row>
    <row r="11" spans="1:5" ht="20.100000000000001" customHeight="1" thickBot="1" x14ac:dyDescent="0.25">
      <c r="A11" s="39"/>
      <c r="B11" s="4" t="s">
        <v>5</v>
      </c>
      <c r="C11" s="4" t="s">
        <v>7</v>
      </c>
      <c r="D11" s="5">
        <v>2.4</v>
      </c>
      <c r="E11" s="5">
        <v>1</v>
      </c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40" t="s">
        <v>25</v>
      </c>
      <c r="B15" s="40"/>
      <c r="C15" s="40"/>
      <c r="D15" s="40"/>
      <c r="E15" s="40"/>
    </row>
    <row r="16" spans="1:5" x14ac:dyDescent="0.2">
      <c r="A16" s="40" t="s">
        <v>26</v>
      </c>
      <c r="B16" s="40"/>
      <c r="C16" s="40"/>
      <c r="D16" s="40"/>
      <c r="E16" s="40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</sheetData>
  <mergeCells count="4">
    <mergeCell ref="A2:A5"/>
    <mergeCell ref="A6:A11"/>
    <mergeCell ref="A15:E15"/>
    <mergeCell ref="A16:E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7F64-4673-460E-AA6E-5DCAC4C8C973}">
  <dimension ref="A1:G21"/>
  <sheetViews>
    <sheetView workbookViewId="0">
      <selection activeCell="H21" sqref="H21"/>
    </sheetView>
  </sheetViews>
  <sheetFormatPr defaultRowHeight="14.25" x14ac:dyDescent="0.2"/>
  <sheetData>
    <row r="1" spans="1:7" ht="45" customHeight="1" x14ac:dyDescent="0.2">
      <c r="A1" s="25"/>
      <c r="B1" s="26" t="s">
        <v>22</v>
      </c>
      <c r="C1" s="26" t="s">
        <v>23</v>
      </c>
      <c r="D1" s="26" t="s">
        <v>24</v>
      </c>
      <c r="E1" s="26" t="s">
        <v>12</v>
      </c>
    </row>
    <row r="2" spans="1:7" ht="20.100000000000001" customHeight="1" x14ac:dyDescent="0.2">
      <c r="A2" s="41" t="s">
        <v>0</v>
      </c>
      <c r="B2" s="20">
        <v>0</v>
      </c>
      <c r="C2" s="28">
        <v>0</v>
      </c>
      <c r="D2" s="18">
        <v>4.8</v>
      </c>
      <c r="E2" s="18">
        <v>0.8</v>
      </c>
    </row>
    <row r="3" spans="1:7" ht="20.100000000000001" customHeight="1" x14ac:dyDescent="0.2">
      <c r="A3" s="41"/>
      <c r="B3" s="20">
        <v>1</v>
      </c>
      <c r="C3" s="28">
        <v>1</v>
      </c>
      <c r="D3" s="18">
        <v>2.4</v>
      </c>
      <c r="E3" s="18">
        <v>0.8</v>
      </c>
    </row>
    <row r="4" spans="1:7" ht="20.100000000000001" customHeight="1" x14ac:dyDescent="0.2">
      <c r="A4" s="41"/>
      <c r="B4" s="20">
        <v>2</v>
      </c>
      <c r="C4" s="28">
        <v>2</v>
      </c>
      <c r="D4" s="18">
        <v>2.4</v>
      </c>
      <c r="E4" s="18">
        <v>0.8</v>
      </c>
    </row>
    <row r="5" spans="1:7" ht="20.100000000000001" customHeight="1" x14ac:dyDescent="0.2">
      <c r="A5" s="41"/>
      <c r="B5" s="20">
        <v>3</v>
      </c>
      <c r="C5" s="28">
        <v>3</v>
      </c>
      <c r="D5" s="18">
        <v>2.4</v>
      </c>
      <c r="E5" s="18">
        <v>0.8</v>
      </c>
    </row>
    <row r="6" spans="1:7" ht="20.100000000000001" customHeight="1" x14ac:dyDescent="0.2">
      <c r="A6" s="41" t="s">
        <v>1</v>
      </c>
      <c r="B6" s="30">
        <v>0</v>
      </c>
      <c r="C6" s="28">
        <v>0</v>
      </c>
      <c r="D6" s="31">
        <v>100</v>
      </c>
      <c r="E6" s="31">
        <v>0</v>
      </c>
      <c r="F6" s="24"/>
      <c r="G6" s="24"/>
    </row>
    <row r="7" spans="1:7" ht="20.100000000000001" customHeight="1" x14ac:dyDescent="0.2">
      <c r="A7" s="41"/>
      <c r="B7" s="30">
        <v>0</v>
      </c>
      <c r="C7" s="28">
        <v>1</v>
      </c>
      <c r="D7" s="31">
        <v>2.4</v>
      </c>
      <c r="E7" s="31">
        <v>1.1000000000000001</v>
      </c>
      <c r="F7" s="24"/>
      <c r="G7" s="24"/>
    </row>
    <row r="8" spans="1:7" ht="20.100000000000001" customHeight="1" x14ac:dyDescent="0.2">
      <c r="A8" s="41"/>
      <c r="B8" s="30">
        <v>0</v>
      </c>
      <c r="C8" s="28">
        <v>2</v>
      </c>
      <c r="D8" s="31">
        <v>2.4</v>
      </c>
      <c r="E8" s="31">
        <v>1.2</v>
      </c>
      <c r="F8" s="24"/>
      <c r="G8" s="24"/>
    </row>
    <row r="9" spans="1:7" ht="20.100000000000001" customHeight="1" x14ac:dyDescent="0.2">
      <c r="A9" s="41"/>
      <c r="B9" s="30">
        <v>0</v>
      </c>
      <c r="C9" s="28">
        <v>3</v>
      </c>
      <c r="D9" s="31">
        <v>1.2</v>
      </c>
      <c r="E9" s="31">
        <v>1</v>
      </c>
      <c r="F9" s="24"/>
      <c r="G9" s="24"/>
    </row>
    <row r="10" spans="1:7" ht="20.100000000000001" customHeight="1" x14ac:dyDescent="0.2">
      <c r="A10" s="41"/>
      <c r="B10" s="27">
        <v>1</v>
      </c>
      <c r="C10" s="28">
        <v>0</v>
      </c>
      <c r="D10" s="18">
        <v>2.4</v>
      </c>
      <c r="E10" s="18">
        <v>1.1000000000000001</v>
      </c>
    </row>
    <row r="11" spans="1:7" ht="20.100000000000001" customHeight="1" x14ac:dyDescent="0.2">
      <c r="A11" s="41"/>
      <c r="B11" s="28">
        <v>1</v>
      </c>
      <c r="C11" s="28">
        <v>1</v>
      </c>
      <c r="D11" s="18">
        <v>100</v>
      </c>
      <c r="E11" s="18">
        <v>0</v>
      </c>
    </row>
    <row r="12" spans="1:7" ht="20.100000000000001" customHeight="1" thickBot="1" x14ac:dyDescent="0.25">
      <c r="A12" s="41"/>
      <c r="B12" s="28">
        <v>1</v>
      </c>
      <c r="C12" s="28">
        <v>2</v>
      </c>
      <c r="D12" s="5">
        <v>2.4</v>
      </c>
      <c r="E12" s="5">
        <v>1.1000000000000001</v>
      </c>
    </row>
    <row r="13" spans="1:7" ht="20.100000000000001" customHeight="1" thickBot="1" x14ac:dyDescent="0.25">
      <c r="A13" s="41"/>
      <c r="B13" s="28">
        <v>1</v>
      </c>
      <c r="C13" s="28">
        <v>3</v>
      </c>
      <c r="D13" s="5">
        <v>1.2</v>
      </c>
      <c r="E13" s="5">
        <v>1.1000000000000001</v>
      </c>
    </row>
    <row r="14" spans="1:7" ht="20.100000000000001" customHeight="1" thickBot="1" x14ac:dyDescent="0.25">
      <c r="A14" s="41"/>
      <c r="B14" s="30">
        <v>2</v>
      </c>
      <c r="C14" s="28">
        <v>0</v>
      </c>
      <c r="D14" s="32">
        <v>2.4</v>
      </c>
      <c r="E14" s="32">
        <v>1.2</v>
      </c>
    </row>
    <row r="15" spans="1:7" ht="20.100000000000001" customHeight="1" thickBot="1" x14ac:dyDescent="0.25">
      <c r="A15" s="41"/>
      <c r="B15" s="30">
        <v>2</v>
      </c>
      <c r="C15" s="28">
        <v>1</v>
      </c>
      <c r="D15" s="32">
        <v>2.4</v>
      </c>
      <c r="E15" s="32">
        <v>1.1000000000000001</v>
      </c>
    </row>
    <row r="16" spans="1:7" ht="20.100000000000001" customHeight="1" x14ac:dyDescent="0.2">
      <c r="A16" s="41"/>
      <c r="B16" s="30">
        <v>2</v>
      </c>
      <c r="C16" s="28">
        <v>2</v>
      </c>
      <c r="D16" s="31">
        <v>100</v>
      </c>
      <c r="E16" s="31">
        <v>0</v>
      </c>
    </row>
    <row r="17" spans="1:5" ht="20.100000000000001" customHeight="1" x14ac:dyDescent="0.2">
      <c r="A17" s="41"/>
      <c r="B17" s="30">
        <v>2</v>
      </c>
      <c r="C17" s="28">
        <v>3</v>
      </c>
      <c r="D17" s="31">
        <v>2.4</v>
      </c>
      <c r="E17" s="31">
        <v>1</v>
      </c>
    </row>
    <row r="18" spans="1:5" ht="20.100000000000001" customHeight="1" thickBot="1" x14ac:dyDescent="0.25">
      <c r="A18" s="41"/>
      <c r="B18" s="27">
        <v>3</v>
      </c>
      <c r="C18" s="28">
        <v>0</v>
      </c>
      <c r="D18" s="5">
        <v>1.2</v>
      </c>
      <c r="E18" s="5">
        <v>1</v>
      </c>
    </row>
    <row r="19" spans="1:5" ht="20.100000000000001" customHeight="1" thickBot="1" x14ac:dyDescent="0.25">
      <c r="A19" s="41"/>
      <c r="B19" s="28">
        <v>3</v>
      </c>
      <c r="C19" s="28">
        <v>1</v>
      </c>
      <c r="D19" s="5">
        <v>1.2</v>
      </c>
      <c r="E19" s="5">
        <v>1.1000000000000001</v>
      </c>
    </row>
    <row r="20" spans="1:5" ht="20.100000000000001" customHeight="1" thickBot="1" x14ac:dyDescent="0.25">
      <c r="A20" s="41"/>
      <c r="B20" s="28">
        <v>3</v>
      </c>
      <c r="C20" s="28">
        <v>2</v>
      </c>
      <c r="D20" s="5">
        <v>2.4</v>
      </c>
      <c r="E20" s="5">
        <v>1</v>
      </c>
    </row>
    <row r="21" spans="1:5" ht="20.100000000000001" customHeight="1" x14ac:dyDescent="0.2">
      <c r="A21" s="41"/>
      <c r="B21" s="28">
        <v>3</v>
      </c>
      <c r="C21" s="28">
        <v>3</v>
      </c>
      <c r="D21" s="18">
        <v>100</v>
      </c>
      <c r="E21" s="18">
        <v>0</v>
      </c>
    </row>
  </sheetData>
  <mergeCells count="2">
    <mergeCell ref="A2:A5"/>
    <mergeCell ref="A6:A2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FBFB-9EFC-4A65-BB38-091A14ADF689}">
  <dimension ref="A1:L16"/>
  <sheetViews>
    <sheetView tabSelected="1" zoomScaleNormal="100" workbookViewId="0">
      <selection activeCell="F3" sqref="F3"/>
    </sheetView>
  </sheetViews>
  <sheetFormatPr defaultRowHeight="14.25" x14ac:dyDescent="0.2"/>
  <cols>
    <col min="2" max="4" width="9" style="6"/>
    <col min="5" max="5" width="13" style="6" customWidth="1"/>
    <col min="6" max="6" width="20.75" style="6" customWidth="1"/>
    <col min="8" max="8" width="9" style="22"/>
    <col min="9" max="9" width="9.125" customWidth="1"/>
    <col min="12" max="12" width="12.75" bestFit="1" customWidth="1"/>
  </cols>
  <sheetData>
    <row r="1" spans="1:12" ht="20.100000000000001" customHeight="1" x14ac:dyDescent="0.2">
      <c r="A1" s="7" t="s">
        <v>28</v>
      </c>
      <c r="B1" s="16" t="s">
        <v>27</v>
      </c>
      <c r="C1" s="16" t="s">
        <v>10</v>
      </c>
      <c r="D1" s="16" t="s">
        <v>11</v>
      </c>
      <c r="E1" s="16" t="s">
        <v>20</v>
      </c>
      <c r="F1" s="8" t="s">
        <v>29</v>
      </c>
      <c r="G1" s="8" t="s">
        <v>30</v>
      </c>
      <c r="H1" s="8" t="s">
        <v>31</v>
      </c>
      <c r="I1" s="19" t="s">
        <v>24</v>
      </c>
      <c r="J1" s="19" t="s">
        <v>12</v>
      </c>
    </row>
    <row r="2" spans="1:12" ht="20.100000000000001" customHeight="1" x14ac:dyDescent="0.2">
      <c r="A2" s="43">
        <v>0</v>
      </c>
      <c r="B2" s="14">
        <v>0</v>
      </c>
      <c r="C2" s="14">
        <v>200</v>
      </c>
      <c r="D2" s="14">
        <v>150</v>
      </c>
      <c r="E2" s="14">
        <v>150</v>
      </c>
      <c r="F2" s="17">
        <v>1000</v>
      </c>
      <c r="G2" s="17">
        <v>1.3</v>
      </c>
      <c r="H2" s="21">
        <v>0.56499999999999995</v>
      </c>
      <c r="I2" s="18">
        <v>4.8</v>
      </c>
      <c r="J2" s="18">
        <v>0</v>
      </c>
      <c r="L2">
        <f>SUM(C2:E2)*H2</f>
        <v>282.5</v>
      </c>
    </row>
    <row r="3" spans="1:12" ht="20.100000000000001" customHeight="1" x14ac:dyDescent="0.2">
      <c r="A3" s="43"/>
      <c r="B3" s="14">
        <v>1</v>
      </c>
      <c r="C3" s="14">
        <v>150</v>
      </c>
      <c r="D3" s="14">
        <v>150</v>
      </c>
      <c r="E3" s="14">
        <v>150</v>
      </c>
      <c r="F3" s="17">
        <v>900</v>
      </c>
      <c r="G3" s="17">
        <v>1.2</v>
      </c>
      <c r="H3" s="21">
        <v>0.26800000000000002</v>
      </c>
      <c r="I3" s="18">
        <v>4.8</v>
      </c>
      <c r="J3" s="18">
        <v>0.8</v>
      </c>
      <c r="L3">
        <f t="shared" ref="L3:L11" si="0">SUM(C3:E3)*H3</f>
        <v>120.60000000000001</v>
      </c>
    </row>
    <row r="4" spans="1:12" ht="20.100000000000001" customHeight="1" x14ac:dyDescent="0.2">
      <c r="A4" s="43"/>
      <c r="B4" s="14">
        <v>2</v>
      </c>
      <c r="C4" s="14">
        <v>150</v>
      </c>
      <c r="D4" s="14">
        <v>150</v>
      </c>
      <c r="E4" s="14">
        <v>150</v>
      </c>
      <c r="F4" s="17">
        <v>900</v>
      </c>
      <c r="G4" s="17">
        <v>1.3</v>
      </c>
      <c r="H4" s="21">
        <v>0.54200000000000004</v>
      </c>
      <c r="I4" s="18">
        <v>4.8</v>
      </c>
      <c r="J4" s="18">
        <v>0.8</v>
      </c>
      <c r="L4">
        <f t="shared" si="0"/>
        <v>243.9</v>
      </c>
    </row>
    <row r="5" spans="1:12" ht="20.100000000000001" customHeight="1" x14ac:dyDescent="0.2">
      <c r="A5" s="45">
        <v>1</v>
      </c>
      <c r="B5" s="29">
        <v>0</v>
      </c>
      <c r="C5" s="11">
        <v>100</v>
      </c>
      <c r="D5" s="11">
        <v>56</v>
      </c>
      <c r="E5" s="11">
        <v>56</v>
      </c>
      <c r="F5" s="17">
        <v>660</v>
      </c>
      <c r="G5" s="17">
        <v>1.3</v>
      </c>
      <c r="H5" s="21">
        <v>0.66100000000000003</v>
      </c>
      <c r="I5" s="18">
        <v>2.4</v>
      </c>
      <c r="J5" s="18">
        <v>0</v>
      </c>
      <c r="L5">
        <f t="shared" si="0"/>
        <v>140.13200000000001</v>
      </c>
    </row>
    <row r="6" spans="1:12" ht="20.100000000000001" customHeight="1" x14ac:dyDescent="0.2">
      <c r="A6" s="46"/>
      <c r="B6" s="29">
        <v>1</v>
      </c>
      <c r="C6" s="11">
        <v>58</v>
      </c>
      <c r="D6" s="11">
        <v>58</v>
      </c>
      <c r="E6" s="11">
        <v>58</v>
      </c>
      <c r="F6" s="17">
        <v>900</v>
      </c>
      <c r="G6" s="17">
        <v>1.4</v>
      </c>
      <c r="H6" s="21">
        <v>0.622</v>
      </c>
      <c r="I6" s="18">
        <v>2.4</v>
      </c>
      <c r="J6" s="18">
        <v>0.8</v>
      </c>
      <c r="L6">
        <f t="shared" si="0"/>
        <v>108.22799999999999</v>
      </c>
    </row>
    <row r="7" spans="1:12" ht="20.100000000000001" customHeight="1" x14ac:dyDescent="0.2">
      <c r="A7" s="47"/>
      <c r="B7" s="29">
        <v>2</v>
      </c>
      <c r="C7" s="11">
        <v>56</v>
      </c>
      <c r="D7" s="11">
        <v>56</v>
      </c>
      <c r="E7" s="11">
        <v>56</v>
      </c>
      <c r="F7" s="17">
        <v>900</v>
      </c>
      <c r="G7" s="17">
        <v>1.5</v>
      </c>
      <c r="H7" s="21">
        <v>0.47199999999999998</v>
      </c>
      <c r="I7" s="18">
        <v>2.4</v>
      </c>
      <c r="J7" s="18">
        <v>0.8</v>
      </c>
      <c r="L7">
        <f t="shared" si="0"/>
        <v>79.295999999999992</v>
      </c>
    </row>
    <row r="8" spans="1:12" ht="20.100000000000001" customHeight="1" x14ac:dyDescent="0.2">
      <c r="A8" s="48">
        <v>2</v>
      </c>
      <c r="B8" s="12">
        <v>0</v>
      </c>
      <c r="C8" s="12">
        <v>125</v>
      </c>
      <c r="D8" s="12">
        <v>125</v>
      </c>
      <c r="E8" s="12">
        <v>125</v>
      </c>
      <c r="F8" s="17">
        <v>660</v>
      </c>
      <c r="G8" s="17">
        <v>1.3</v>
      </c>
      <c r="H8" s="21">
        <v>0.56000000000000005</v>
      </c>
      <c r="I8" s="18">
        <v>2.4</v>
      </c>
      <c r="J8" s="18">
        <v>0</v>
      </c>
      <c r="L8">
        <f t="shared" si="0"/>
        <v>210.00000000000003</v>
      </c>
    </row>
    <row r="9" spans="1:12" ht="20.100000000000001" customHeight="1" x14ac:dyDescent="0.2">
      <c r="A9" s="49"/>
      <c r="B9" s="12">
        <v>1</v>
      </c>
      <c r="C9" s="12">
        <v>100</v>
      </c>
      <c r="D9" s="12">
        <v>100</v>
      </c>
      <c r="E9" s="12">
        <v>100</v>
      </c>
      <c r="F9" s="17">
        <v>900</v>
      </c>
      <c r="G9" s="23">
        <v>1.25</v>
      </c>
      <c r="H9" s="21">
        <v>0.42099999999999999</v>
      </c>
      <c r="I9" s="18">
        <v>2.4</v>
      </c>
      <c r="J9" s="18">
        <v>0.8</v>
      </c>
      <c r="L9">
        <f t="shared" si="0"/>
        <v>126.3</v>
      </c>
    </row>
    <row r="10" spans="1:12" ht="20.100000000000001" customHeight="1" x14ac:dyDescent="0.2">
      <c r="A10" s="44">
        <v>3</v>
      </c>
      <c r="B10" s="13">
        <v>0</v>
      </c>
      <c r="C10" s="13">
        <v>45</v>
      </c>
      <c r="D10" s="13">
        <v>45</v>
      </c>
      <c r="E10" s="13">
        <v>45</v>
      </c>
      <c r="F10" s="17">
        <v>900</v>
      </c>
      <c r="G10" s="17">
        <v>1.3</v>
      </c>
      <c r="H10" s="21">
        <v>0.51</v>
      </c>
      <c r="I10" s="18">
        <v>2.4</v>
      </c>
      <c r="J10" s="18">
        <v>0</v>
      </c>
      <c r="L10">
        <f t="shared" si="0"/>
        <v>68.849999999999994</v>
      </c>
    </row>
    <row r="11" spans="1:12" ht="20.100000000000001" customHeight="1" x14ac:dyDescent="0.2">
      <c r="A11" s="44"/>
      <c r="B11" s="13">
        <v>1</v>
      </c>
      <c r="C11" s="13">
        <v>45</v>
      </c>
      <c r="D11" s="13">
        <v>45</v>
      </c>
      <c r="E11" s="13">
        <v>45</v>
      </c>
      <c r="F11" s="17">
        <v>900</v>
      </c>
      <c r="G11" s="23">
        <v>1.39</v>
      </c>
      <c r="H11" s="21">
        <v>0.48699999999999999</v>
      </c>
      <c r="I11" s="18">
        <v>2.4</v>
      </c>
      <c r="J11" s="18">
        <v>0.8</v>
      </c>
      <c r="L11">
        <f t="shared" si="0"/>
        <v>65.745000000000005</v>
      </c>
    </row>
    <row r="12" spans="1:12" x14ac:dyDescent="0.2">
      <c r="C12" s="6">
        <f>SUM(C2:C11)</f>
        <v>1029</v>
      </c>
      <c r="D12" s="6">
        <f>SUM(D2:D11)</f>
        <v>935</v>
      </c>
      <c r="E12" s="6">
        <f>SUM(E2:E11)</f>
        <v>935</v>
      </c>
      <c r="L12">
        <f>SUM(L2:L11)*45*24*365</f>
        <v>569836204.20000005</v>
      </c>
    </row>
    <row r="15" spans="1:12" x14ac:dyDescent="0.2">
      <c r="A15" s="42" t="s">
        <v>33</v>
      </c>
      <c r="B15" s="42"/>
      <c r="C15" s="42"/>
      <c r="D15" s="42"/>
      <c r="E15" s="42"/>
      <c r="F15" s="42"/>
      <c r="G15" s="42"/>
    </row>
    <row r="16" spans="1:12" x14ac:dyDescent="0.2">
      <c r="A16" s="42" t="s">
        <v>21</v>
      </c>
      <c r="B16" s="42"/>
      <c r="C16" s="42"/>
      <c r="D16" s="42"/>
      <c r="E16" s="42"/>
      <c r="F16" s="42"/>
      <c r="G16" s="42"/>
    </row>
  </sheetData>
  <mergeCells count="6">
    <mergeCell ref="A16:G16"/>
    <mergeCell ref="A2:A4"/>
    <mergeCell ref="A15:G15"/>
    <mergeCell ref="A10:A11"/>
    <mergeCell ref="A5:A7"/>
    <mergeCell ref="A8:A9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B06E-069F-4BE3-A424-B11CFE169E82}">
  <dimension ref="A1:I19"/>
  <sheetViews>
    <sheetView workbookViewId="0">
      <selection activeCell="B9" sqref="B9:I9"/>
    </sheetView>
  </sheetViews>
  <sheetFormatPr defaultRowHeight="14.25" x14ac:dyDescent="0.2"/>
  <cols>
    <col min="1" max="1" width="6.875" customWidth="1"/>
    <col min="2" max="4" width="8.5" bestFit="1" customWidth="1"/>
    <col min="5" max="5" width="8.5" customWidth="1"/>
    <col min="6" max="6" width="8.5" style="22" customWidth="1"/>
    <col min="7" max="7" width="8.5" customWidth="1"/>
    <col min="9" max="9" width="12.125" customWidth="1"/>
    <col min="10" max="10" width="58.625" customWidth="1"/>
  </cols>
  <sheetData>
    <row r="1" spans="1:9" ht="25.5" x14ac:dyDescent="0.2">
      <c r="A1" s="17" t="s">
        <v>13</v>
      </c>
      <c r="B1" s="17" t="s">
        <v>14</v>
      </c>
      <c r="C1" s="17" t="s">
        <v>15</v>
      </c>
      <c r="D1" s="17" t="s">
        <v>16</v>
      </c>
      <c r="E1" s="17" t="s">
        <v>32</v>
      </c>
      <c r="F1" s="17" t="s">
        <v>31</v>
      </c>
      <c r="G1" s="15"/>
    </row>
    <row r="2" spans="1:9" ht="15" thickBot="1" x14ac:dyDescent="0.25">
      <c r="A2" s="17" t="s">
        <v>2</v>
      </c>
      <c r="B2" s="17">
        <v>500</v>
      </c>
      <c r="C2" s="33">
        <v>450</v>
      </c>
      <c r="D2" s="33">
        <v>450</v>
      </c>
      <c r="E2" s="17">
        <v>3700</v>
      </c>
      <c r="F2" s="22">
        <v>0.56499999999999995</v>
      </c>
      <c r="G2" s="15"/>
    </row>
    <row r="3" spans="1:9" ht="15" thickBot="1" x14ac:dyDescent="0.25">
      <c r="A3" s="10" t="s">
        <v>8</v>
      </c>
      <c r="B3" s="17">
        <v>214</v>
      </c>
      <c r="C3" s="33">
        <v>170</v>
      </c>
      <c r="D3" s="33">
        <v>170</v>
      </c>
      <c r="E3" s="17">
        <v>2460</v>
      </c>
      <c r="F3" s="22">
        <v>0.66100000000000003</v>
      </c>
      <c r="G3" s="15"/>
    </row>
    <row r="4" spans="1:9" ht="15" thickBot="1" x14ac:dyDescent="0.25">
      <c r="A4" s="10" t="s">
        <v>4</v>
      </c>
      <c r="B4" s="33">
        <v>225</v>
      </c>
      <c r="C4" s="33">
        <v>225</v>
      </c>
      <c r="D4" s="33">
        <v>225</v>
      </c>
      <c r="E4" s="17">
        <v>1560</v>
      </c>
      <c r="F4" s="21">
        <v>0.56000000000000005</v>
      </c>
      <c r="G4" s="15"/>
    </row>
    <row r="5" spans="1:9" ht="15" thickBot="1" x14ac:dyDescent="0.25">
      <c r="A5" s="10" t="s">
        <v>6</v>
      </c>
      <c r="B5" s="33">
        <v>90</v>
      </c>
      <c r="C5" s="33">
        <v>90</v>
      </c>
      <c r="D5" s="33">
        <v>90</v>
      </c>
      <c r="E5" s="17">
        <v>1800</v>
      </c>
      <c r="F5" s="21">
        <v>0.51</v>
      </c>
      <c r="G5" s="15"/>
    </row>
    <row r="6" spans="1:9" x14ac:dyDescent="0.2">
      <c r="A6" s="9"/>
    </row>
    <row r="8" spans="1:9" ht="45" customHeight="1" x14ac:dyDescent="0.2"/>
    <row r="9" spans="1:9" ht="28.9" customHeight="1" x14ac:dyDescent="0.2">
      <c r="A9" s="10" t="s">
        <v>20</v>
      </c>
      <c r="B9" s="50" t="s">
        <v>17</v>
      </c>
      <c r="C9" s="51"/>
      <c r="D9" s="51"/>
      <c r="E9" s="51"/>
      <c r="F9" s="51"/>
      <c r="G9" s="51"/>
      <c r="H9" s="51"/>
      <c r="I9" s="51"/>
    </row>
    <row r="10" spans="1:9" x14ac:dyDescent="0.2">
      <c r="A10" s="10" t="s">
        <v>11</v>
      </c>
      <c r="B10" s="50" t="s">
        <v>18</v>
      </c>
      <c r="C10" s="51"/>
      <c r="D10" s="51"/>
      <c r="E10" s="51"/>
      <c r="F10" s="51"/>
      <c r="G10" s="51"/>
      <c r="H10" s="51"/>
      <c r="I10" s="51"/>
    </row>
    <row r="11" spans="1:9" x14ac:dyDescent="0.2">
      <c r="A11" s="10" t="s">
        <v>10</v>
      </c>
      <c r="B11" s="50" t="s">
        <v>19</v>
      </c>
      <c r="C11" s="51"/>
      <c r="D11" s="51"/>
      <c r="E11" s="51"/>
      <c r="F11" s="51"/>
      <c r="G11" s="51"/>
      <c r="H11" s="51"/>
      <c r="I11" s="51"/>
    </row>
    <row r="16" spans="1:9" x14ac:dyDescent="0.2">
      <c r="F16" s="22">
        <v>0.56499999999999995</v>
      </c>
    </row>
    <row r="17" spans="6:6" x14ac:dyDescent="0.2">
      <c r="F17" s="22">
        <v>0.66100000000000003</v>
      </c>
    </row>
    <row r="18" spans="6:6" x14ac:dyDescent="0.2">
      <c r="F18" s="21">
        <v>0.56000000000000005</v>
      </c>
    </row>
    <row r="19" spans="6:6" x14ac:dyDescent="0.2">
      <c r="F19" s="21">
        <v>0.51</v>
      </c>
    </row>
  </sheetData>
  <mergeCells count="3">
    <mergeCell ref="B10:I10"/>
    <mergeCell ref="B11:I11"/>
    <mergeCell ref="B9:I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网络架构</vt:lpstr>
      <vt:lpstr>区域网</vt:lpstr>
      <vt:lpstr>城市参数</vt:lpstr>
      <vt:lpstr>负载类型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xjtu</dc:creator>
  <cp:lastModifiedBy>陈 孟晓</cp:lastModifiedBy>
  <dcterms:created xsi:type="dcterms:W3CDTF">2015-06-05T18:19:34Z</dcterms:created>
  <dcterms:modified xsi:type="dcterms:W3CDTF">2024-01-02T08:01:13Z</dcterms:modified>
</cp:coreProperties>
</file>